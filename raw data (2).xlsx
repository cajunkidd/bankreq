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ccounting\CREDITCARD PRINTOUTS\2026\4th period\"/>
    </mc:Choice>
  </mc:AlternateContent>
  <xr:revisionPtr revIDLastSave="0" documentId="13_ncr:1_{300F65F4-2B6B-4BED-B1FC-9A8667875E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t Sales (2)" sheetId="8" r:id="rId1"/>
    <sheet name="Net Sales" sheetId="1" r:id="rId2"/>
    <sheet name="Adjustments" sheetId="2" r:id="rId3"/>
    <sheet name="IC Charges &amp; Program Fees" sheetId="3" r:id="rId4"/>
    <sheet name="Service Charges" sheetId="4" r:id="rId5"/>
    <sheet name="Fees" sheetId="5" r:id="rId6"/>
    <sheet name="Chargebacks &amp; Chargeback Revers" sheetId="6" r:id="rId7"/>
    <sheet name="Paid By Other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8" l="1"/>
  <c r="F62" i="8"/>
  <c r="F57" i="8"/>
  <c r="F52" i="8"/>
  <c r="F47" i="8"/>
  <c r="F42" i="8"/>
  <c r="F37" i="8"/>
  <c r="F31" i="8"/>
  <c r="F26" i="8"/>
  <c r="F21" i="8"/>
  <c r="F16" i="8"/>
  <c r="F11" i="8"/>
  <c r="F6" i="8"/>
</calcChain>
</file>

<file path=xl/sharedStrings.xml><?xml version="1.0" encoding="utf-8"?>
<sst xmlns="http://schemas.openxmlformats.org/spreadsheetml/2006/main" count="860" uniqueCount="64">
  <si>
    <t>Product Code</t>
  </si>
  <si>
    <t>Site ID (BE)</t>
  </si>
  <si>
    <t>Funded Date</t>
  </si>
  <si>
    <t>Site Alternate ID</t>
  </si>
  <si>
    <t>Site Name</t>
  </si>
  <si>
    <t>Major Category</t>
  </si>
  <si>
    <t>Processed Currency</t>
  </si>
  <si>
    <t>Transaction Count</t>
  </si>
  <si>
    <t>Processed Transaction Amount</t>
  </si>
  <si>
    <t>Amex</t>
  </si>
  <si>
    <t>266025361889</t>
  </si>
  <si>
    <t>03/30/2026</t>
  </si>
  <si>
    <t>1800</t>
  </si>
  <si>
    <t>STINE - NATCHITOCHES</t>
  </si>
  <si>
    <t>Deposits</t>
  </si>
  <si>
    <t>USD</t>
  </si>
  <si>
    <t>Discover</t>
  </si>
  <si>
    <t>266480962882</t>
  </si>
  <si>
    <t>2400</t>
  </si>
  <si>
    <t>STINE - EUNICE</t>
  </si>
  <si>
    <t>266025356889</t>
  </si>
  <si>
    <t>1700</t>
  </si>
  <si>
    <t>STINE - CROWLEY</t>
  </si>
  <si>
    <t>266025375889</t>
  </si>
  <si>
    <t>2000</t>
  </si>
  <si>
    <t>STINE - NATCHEZ</t>
  </si>
  <si>
    <t>266025312882</t>
  </si>
  <si>
    <t>1400</t>
  </si>
  <si>
    <t>STINE - JENNINGS</t>
  </si>
  <si>
    <t>Visa</t>
  </si>
  <si>
    <t>DebitCard</t>
  </si>
  <si>
    <t>266025299881</t>
  </si>
  <si>
    <t>1200</t>
  </si>
  <si>
    <t>STINE - DERIDDER</t>
  </si>
  <si>
    <t>266281034881</t>
  </si>
  <si>
    <t>2200</t>
  </si>
  <si>
    <t>STINE - WALKER</t>
  </si>
  <si>
    <t>Mastercard</t>
  </si>
  <si>
    <t>266444419888</t>
  </si>
  <si>
    <t>2100</t>
  </si>
  <si>
    <t>STINE- PINEVILLE</t>
  </si>
  <si>
    <t>266025411882</t>
  </si>
  <si>
    <t>2300</t>
  </si>
  <si>
    <t>STINE - BROUSSARD</t>
  </si>
  <si>
    <t>266025320885</t>
  </si>
  <si>
    <t>1500</t>
  </si>
  <si>
    <t>STINE - IOWA</t>
  </si>
  <si>
    <t>266025275881</t>
  </si>
  <si>
    <t>8100</t>
  </si>
  <si>
    <t>STINE -E-COM</t>
  </si>
  <si>
    <t>266025302883</t>
  </si>
  <si>
    <t>1300</t>
  </si>
  <si>
    <t>STINE - LAKE CHARLES</t>
  </si>
  <si>
    <t>266025296887</t>
  </si>
  <si>
    <t>1100</t>
  </si>
  <si>
    <t>STINE - SULPHUR</t>
  </si>
  <si>
    <t>266488079887</t>
  </si>
  <si>
    <t>2500</t>
  </si>
  <si>
    <t>STINE LLC - BOSSIER CITY</t>
  </si>
  <si>
    <t>266025283885</t>
  </si>
  <si>
    <t>8000</t>
  </si>
  <si>
    <t>STINE - SULPHUR APL</t>
  </si>
  <si>
    <t>Miscellaneous</t>
  </si>
  <si>
    <t>Deposits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</si>
</sst>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;\-#,##0"/>
    <numFmt numFmtId="165" formatCode="#,###.00;\-#,###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0" fontId="0" fillId="0" borderId="2" xfId="0" applyBorder="1"/>
    <xf numFmtId="0" fontId="0" fillId="0" borderId="3" xfId="0" applyBorder="1"/>
    <xf numFmtId="165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8" xfId="0" applyNumberFormat="1" applyBorder="1"/>
    <xf numFmtId="0" fontId="0" fillId="0" borderId="10" xfId="0" applyBorder="1"/>
    <xf numFmtId="0" fontId="0" fillId="0" borderId="11" xfId="0" applyBorder="1"/>
    <xf numFmtId="165" fontId="0" fillId="0" borderId="11" xfId="0" applyNumberFormat="1" applyBorder="1"/>
    <xf numFmtId="0" fontId="0" fillId="0" borderId="12" xfId="0" applyBorder="1"/>
    <xf numFmtId="165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E8E4-80B2-4B69-845D-15B7B7FD6E51}">
  <sheetPr>
    <pageSetUpPr fitToPage="1"/>
  </sheetPr>
  <dimension ref="A1:F68"/>
  <sheetViews>
    <sheetView tabSelected="1" workbookViewId="0">
      <selection activeCell="F69" sqref="F69"/>
    </sheetView>
  </sheetViews>
  <sheetFormatPr defaultRowHeight="15" x14ac:dyDescent="0.25"/>
  <cols>
    <col min="2" max="2" width="12.28515625" bestFit="1" customWidth="1"/>
    <col min="3" max="3" width="22.7109375" bestFit="1" customWidth="1"/>
    <col min="4" max="4" width="14" bestFit="1" customWidth="1"/>
    <col min="5" max="5" width="17.42578125" customWidth="1"/>
    <col min="6" max="6" width="14.5703125" customWidth="1"/>
  </cols>
  <sheetData>
    <row r="1" spans="1:6" x14ac:dyDescent="0.25">
      <c r="A1" s="1" t="s">
        <v>3</v>
      </c>
      <c r="B1" s="1" t="s">
        <v>2</v>
      </c>
      <c r="C1" s="1" t="s">
        <v>4</v>
      </c>
      <c r="D1" s="1" t="s">
        <v>0</v>
      </c>
      <c r="E1" s="1" t="s">
        <v>8</v>
      </c>
    </row>
    <row r="2" spans="1:6" ht="15.75" thickBot="1" x14ac:dyDescent="0.3">
      <c r="A2" t="s">
        <v>54</v>
      </c>
      <c r="B2" t="s">
        <v>11</v>
      </c>
      <c r="C2" t="s">
        <v>55</v>
      </c>
      <c r="D2" t="s">
        <v>9</v>
      </c>
      <c r="E2" s="3">
        <v>1776.1</v>
      </c>
    </row>
    <row r="3" spans="1:6" x14ac:dyDescent="0.25">
      <c r="A3" s="4" t="s">
        <v>54</v>
      </c>
      <c r="B3" s="5" t="s">
        <v>11</v>
      </c>
      <c r="C3" s="5" t="s">
        <v>55</v>
      </c>
      <c r="D3" s="5" t="s">
        <v>30</v>
      </c>
      <c r="E3" s="6">
        <v>9153.39</v>
      </c>
      <c r="F3" s="7"/>
    </row>
    <row r="4" spans="1:6" x14ac:dyDescent="0.25">
      <c r="A4" s="8" t="s">
        <v>54</v>
      </c>
      <c r="B4" t="s">
        <v>11</v>
      </c>
      <c r="C4" t="s">
        <v>55</v>
      </c>
      <c r="D4" t="s">
        <v>16</v>
      </c>
      <c r="E4" s="3">
        <v>1707.67</v>
      </c>
      <c r="F4" s="9"/>
    </row>
    <row r="5" spans="1:6" x14ac:dyDescent="0.25">
      <c r="A5" s="8" t="s">
        <v>54</v>
      </c>
      <c r="B5" t="s">
        <v>11</v>
      </c>
      <c r="C5" t="s">
        <v>55</v>
      </c>
      <c r="D5" t="s">
        <v>37</v>
      </c>
      <c r="E5" s="3">
        <v>10628.58</v>
      </c>
      <c r="F5" s="9"/>
    </row>
    <row r="6" spans="1:6" ht="15.75" thickBot="1" x14ac:dyDescent="0.3">
      <c r="A6" s="10" t="s">
        <v>54</v>
      </c>
      <c r="B6" s="11" t="s">
        <v>11</v>
      </c>
      <c r="C6" s="11" t="s">
        <v>55</v>
      </c>
      <c r="D6" s="11" t="s">
        <v>29</v>
      </c>
      <c r="E6" s="12">
        <v>17724.28</v>
      </c>
      <c r="F6" s="17">
        <f>SUM(E3:E6)</f>
        <v>39213.919999999998</v>
      </c>
    </row>
    <row r="7" spans="1:6" ht="15.75" thickBot="1" x14ac:dyDescent="0.3">
      <c r="A7" t="s">
        <v>32</v>
      </c>
      <c r="B7" t="s">
        <v>11</v>
      </c>
      <c r="C7" t="s">
        <v>33</v>
      </c>
      <c r="D7" t="s">
        <v>9</v>
      </c>
      <c r="E7" s="3">
        <v>1276.1500000000001</v>
      </c>
    </row>
    <row r="8" spans="1:6" x14ac:dyDescent="0.25">
      <c r="A8" s="4" t="s">
        <v>32</v>
      </c>
      <c r="B8" s="5" t="s">
        <v>11</v>
      </c>
      <c r="C8" s="5" t="s">
        <v>33</v>
      </c>
      <c r="D8" s="5" t="s">
        <v>30</v>
      </c>
      <c r="E8" s="6">
        <v>7562.48</v>
      </c>
      <c r="F8" s="7"/>
    </row>
    <row r="9" spans="1:6" x14ac:dyDescent="0.25">
      <c r="A9" s="8" t="s">
        <v>32</v>
      </c>
      <c r="B9" t="s">
        <v>11</v>
      </c>
      <c r="C9" t="s">
        <v>33</v>
      </c>
      <c r="D9" t="s">
        <v>16</v>
      </c>
      <c r="E9" s="3">
        <v>487.79</v>
      </c>
      <c r="F9" s="9"/>
    </row>
    <row r="10" spans="1:6" x14ac:dyDescent="0.25">
      <c r="A10" s="8" t="s">
        <v>32</v>
      </c>
      <c r="B10" t="s">
        <v>11</v>
      </c>
      <c r="C10" t="s">
        <v>33</v>
      </c>
      <c r="D10" t="s">
        <v>37</v>
      </c>
      <c r="E10" s="3">
        <v>9126.99</v>
      </c>
      <c r="F10" s="9"/>
    </row>
    <row r="11" spans="1:6" ht="15.75" thickBot="1" x14ac:dyDescent="0.3">
      <c r="A11" s="10" t="s">
        <v>32</v>
      </c>
      <c r="B11" s="11" t="s">
        <v>11</v>
      </c>
      <c r="C11" s="11" t="s">
        <v>33</v>
      </c>
      <c r="D11" s="11" t="s">
        <v>29</v>
      </c>
      <c r="E11" s="12">
        <v>12790.97</v>
      </c>
      <c r="F11" s="17">
        <f>SUM(E8:E11)</f>
        <v>29968.229999999996</v>
      </c>
    </row>
    <row r="12" spans="1:6" ht="15.75" thickBot="1" x14ac:dyDescent="0.3">
      <c r="A12" t="s">
        <v>51</v>
      </c>
      <c r="B12" t="s">
        <v>11</v>
      </c>
      <c r="C12" t="s">
        <v>52</v>
      </c>
      <c r="D12" t="s">
        <v>9</v>
      </c>
      <c r="E12" s="3">
        <v>3975.09</v>
      </c>
    </row>
    <row r="13" spans="1:6" x14ac:dyDescent="0.25">
      <c r="A13" s="4" t="s">
        <v>51</v>
      </c>
      <c r="B13" s="5" t="s">
        <v>11</v>
      </c>
      <c r="C13" s="5" t="s">
        <v>52</v>
      </c>
      <c r="D13" s="5" t="s">
        <v>30</v>
      </c>
      <c r="E13" s="6">
        <v>14823.01</v>
      </c>
      <c r="F13" s="7"/>
    </row>
    <row r="14" spans="1:6" x14ac:dyDescent="0.25">
      <c r="A14" s="8" t="s">
        <v>51</v>
      </c>
      <c r="B14" t="s">
        <v>11</v>
      </c>
      <c r="C14" t="s">
        <v>52</v>
      </c>
      <c r="D14" t="s">
        <v>16</v>
      </c>
      <c r="E14" s="3">
        <v>2257.17</v>
      </c>
      <c r="F14" s="9"/>
    </row>
    <row r="15" spans="1:6" x14ac:dyDescent="0.25">
      <c r="A15" s="8" t="s">
        <v>51</v>
      </c>
      <c r="B15" t="s">
        <v>11</v>
      </c>
      <c r="C15" t="s">
        <v>52</v>
      </c>
      <c r="D15" t="s">
        <v>37</v>
      </c>
      <c r="E15" s="3">
        <v>14541.38</v>
      </c>
      <c r="F15" s="9"/>
    </row>
    <row r="16" spans="1:6" ht="15.75" thickBot="1" x14ac:dyDescent="0.3">
      <c r="A16" s="10" t="s">
        <v>51</v>
      </c>
      <c r="B16" s="11" t="s">
        <v>11</v>
      </c>
      <c r="C16" s="11" t="s">
        <v>52</v>
      </c>
      <c r="D16" s="11" t="s">
        <v>29</v>
      </c>
      <c r="E16" s="12">
        <v>22756.5</v>
      </c>
      <c r="F16" s="17">
        <f>SUM(E13:E16)</f>
        <v>54378.06</v>
      </c>
    </row>
    <row r="17" spans="1:6" ht="15.75" thickBot="1" x14ac:dyDescent="0.3">
      <c r="A17" t="s">
        <v>27</v>
      </c>
      <c r="B17" t="s">
        <v>11</v>
      </c>
      <c r="C17" t="s">
        <v>28</v>
      </c>
      <c r="D17" t="s">
        <v>9</v>
      </c>
      <c r="E17" s="3">
        <v>1657.76</v>
      </c>
    </row>
    <row r="18" spans="1:6" x14ac:dyDescent="0.25">
      <c r="A18" s="4" t="s">
        <v>27</v>
      </c>
      <c r="B18" s="5" t="s">
        <v>11</v>
      </c>
      <c r="C18" s="5" t="s">
        <v>28</v>
      </c>
      <c r="D18" s="5" t="s">
        <v>30</v>
      </c>
      <c r="E18" s="6">
        <v>8438.4</v>
      </c>
      <c r="F18" s="7"/>
    </row>
    <row r="19" spans="1:6" x14ac:dyDescent="0.25">
      <c r="A19" s="8" t="s">
        <v>27</v>
      </c>
      <c r="B19" t="s">
        <v>11</v>
      </c>
      <c r="C19" t="s">
        <v>28</v>
      </c>
      <c r="D19" t="s">
        <v>16</v>
      </c>
      <c r="E19" s="3">
        <v>1997.94</v>
      </c>
      <c r="F19" s="9"/>
    </row>
    <row r="20" spans="1:6" x14ac:dyDescent="0.25">
      <c r="A20" s="8" t="s">
        <v>27</v>
      </c>
      <c r="B20" t="s">
        <v>11</v>
      </c>
      <c r="C20" t="s">
        <v>28</v>
      </c>
      <c r="D20" t="s">
        <v>37</v>
      </c>
      <c r="E20" s="3">
        <v>13109.96</v>
      </c>
      <c r="F20" s="9"/>
    </row>
    <row r="21" spans="1:6" ht="15.75" thickBot="1" x14ac:dyDescent="0.3">
      <c r="A21" s="10" t="s">
        <v>27</v>
      </c>
      <c r="B21" s="11" t="s">
        <v>11</v>
      </c>
      <c r="C21" s="11" t="s">
        <v>28</v>
      </c>
      <c r="D21" s="11" t="s">
        <v>29</v>
      </c>
      <c r="E21" s="12">
        <v>6795.15</v>
      </c>
      <c r="F21" s="17">
        <f>SUM(E18:E21)</f>
        <v>30341.449999999997</v>
      </c>
    </row>
    <row r="22" spans="1:6" ht="15.75" thickBot="1" x14ac:dyDescent="0.3">
      <c r="A22" t="s">
        <v>45</v>
      </c>
      <c r="B22" t="s">
        <v>11</v>
      </c>
      <c r="C22" t="s">
        <v>46</v>
      </c>
      <c r="D22" t="s">
        <v>9</v>
      </c>
      <c r="E22" s="3">
        <v>247.32</v>
      </c>
    </row>
    <row r="23" spans="1:6" x14ac:dyDescent="0.25">
      <c r="A23" s="4" t="s">
        <v>45</v>
      </c>
      <c r="B23" s="5" t="s">
        <v>11</v>
      </c>
      <c r="C23" s="5" t="s">
        <v>46</v>
      </c>
      <c r="D23" s="5" t="s">
        <v>30</v>
      </c>
      <c r="E23" s="6">
        <v>2644.17</v>
      </c>
      <c r="F23" s="7"/>
    </row>
    <row r="24" spans="1:6" x14ac:dyDescent="0.25">
      <c r="A24" s="8" t="s">
        <v>45</v>
      </c>
      <c r="B24" t="s">
        <v>11</v>
      </c>
      <c r="C24" t="s">
        <v>46</v>
      </c>
      <c r="D24" t="s">
        <v>16</v>
      </c>
      <c r="E24" s="3">
        <v>722.36</v>
      </c>
      <c r="F24" s="9"/>
    </row>
    <row r="25" spans="1:6" x14ac:dyDescent="0.25">
      <c r="A25" s="8" t="s">
        <v>45</v>
      </c>
      <c r="B25" t="s">
        <v>11</v>
      </c>
      <c r="C25" t="s">
        <v>46</v>
      </c>
      <c r="D25" t="s">
        <v>37</v>
      </c>
      <c r="E25" s="3">
        <v>2288.5100000000002</v>
      </c>
      <c r="F25" s="9"/>
    </row>
    <row r="26" spans="1:6" ht="15.75" thickBot="1" x14ac:dyDescent="0.3">
      <c r="A26" s="10" t="s">
        <v>45</v>
      </c>
      <c r="B26" s="11" t="s">
        <v>11</v>
      </c>
      <c r="C26" s="11" t="s">
        <v>46</v>
      </c>
      <c r="D26" s="11" t="s">
        <v>29</v>
      </c>
      <c r="E26" s="12">
        <v>9352.06</v>
      </c>
      <c r="F26" s="17">
        <f>SUM(E23:E26)</f>
        <v>15007.1</v>
      </c>
    </row>
    <row r="27" spans="1:6" ht="15.75" thickBot="1" x14ac:dyDescent="0.3">
      <c r="A27" t="s">
        <v>21</v>
      </c>
      <c r="B27" t="s">
        <v>11</v>
      </c>
      <c r="C27" t="s">
        <v>22</v>
      </c>
      <c r="D27" t="s">
        <v>9</v>
      </c>
      <c r="E27" s="3">
        <v>266.51</v>
      </c>
    </row>
    <row r="28" spans="1:6" x14ac:dyDescent="0.25">
      <c r="A28" s="4" t="s">
        <v>21</v>
      </c>
      <c r="B28" s="5" t="s">
        <v>11</v>
      </c>
      <c r="C28" s="5" t="s">
        <v>22</v>
      </c>
      <c r="D28" s="5" t="s">
        <v>30</v>
      </c>
      <c r="E28" s="6">
        <v>2517.13</v>
      </c>
      <c r="F28" s="7"/>
    </row>
    <row r="29" spans="1:6" x14ac:dyDescent="0.25">
      <c r="A29" s="8" t="s">
        <v>21</v>
      </c>
      <c r="B29" t="s">
        <v>11</v>
      </c>
      <c r="C29" t="s">
        <v>22</v>
      </c>
      <c r="D29" t="s">
        <v>16</v>
      </c>
      <c r="E29" s="3">
        <v>83.33</v>
      </c>
      <c r="F29" s="9"/>
    </row>
    <row r="30" spans="1:6" x14ac:dyDescent="0.25">
      <c r="A30" s="8" t="s">
        <v>21</v>
      </c>
      <c r="B30" t="s">
        <v>11</v>
      </c>
      <c r="C30" t="s">
        <v>22</v>
      </c>
      <c r="D30" t="s">
        <v>37</v>
      </c>
      <c r="E30" s="3">
        <v>1770.81</v>
      </c>
      <c r="F30" s="9"/>
    </row>
    <row r="31" spans="1:6" ht="15.75" thickBot="1" x14ac:dyDescent="0.3">
      <c r="A31" s="10" t="s">
        <v>21</v>
      </c>
      <c r="B31" s="11" t="s">
        <v>11</v>
      </c>
      <c r="C31" s="11" t="s">
        <v>22</v>
      </c>
      <c r="D31" s="11" t="s">
        <v>29</v>
      </c>
      <c r="E31" s="12">
        <v>3819.68</v>
      </c>
      <c r="F31" s="17">
        <f>SUM(E28:E31)</f>
        <v>8190.9500000000007</v>
      </c>
    </row>
    <row r="32" spans="1:6" ht="15.75" thickBot="1" x14ac:dyDescent="0.3">
      <c r="A32" t="s">
        <v>12</v>
      </c>
      <c r="B32" t="s">
        <v>11</v>
      </c>
      <c r="C32" t="s">
        <v>13</v>
      </c>
      <c r="D32" t="s">
        <v>9</v>
      </c>
      <c r="E32" s="3">
        <v>944.98</v>
      </c>
    </row>
    <row r="33" spans="1:6" x14ac:dyDescent="0.25">
      <c r="A33" s="4" t="s">
        <v>12</v>
      </c>
      <c r="B33" s="5" t="s">
        <v>11</v>
      </c>
      <c r="C33" s="5" t="s">
        <v>13</v>
      </c>
      <c r="D33" s="5" t="s">
        <v>30</v>
      </c>
      <c r="E33" s="6">
        <v>5505.04</v>
      </c>
      <c r="F33" s="7"/>
    </row>
    <row r="34" spans="1:6" x14ac:dyDescent="0.25">
      <c r="A34" s="8" t="s">
        <v>12</v>
      </c>
      <c r="B34" t="s">
        <v>11</v>
      </c>
      <c r="C34" t="s">
        <v>13</v>
      </c>
      <c r="D34" t="s">
        <v>16</v>
      </c>
      <c r="E34" s="3">
        <v>1033.93</v>
      </c>
      <c r="F34" s="9"/>
    </row>
    <row r="35" spans="1:6" x14ac:dyDescent="0.25">
      <c r="A35" s="8" t="s">
        <v>12</v>
      </c>
      <c r="B35" t="s">
        <v>11</v>
      </c>
      <c r="C35" t="s">
        <v>13</v>
      </c>
      <c r="D35" t="s">
        <v>37</v>
      </c>
      <c r="E35" s="3">
        <v>6045.64</v>
      </c>
      <c r="F35" s="9"/>
    </row>
    <row r="36" spans="1:6" x14ac:dyDescent="0.25">
      <c r="A36" s="8" t="s">
        <v>12</v>
      </c>
      <c r="B36" t="s">
        <v>11</v>
      </c>
      <c r="C36" t="s">
        <v>13</v>
      </c>
      <c r="D36" t="s">
        <v>62</v>
      </c>
      <c r="E36" s="3">
        <v>220.77</v>
      </c>
      <c r="F36" s="9"/>
    </row>
    <row r="37" spans="1:6" ht="15.75" thickBot="1" x14ac:dyDescent="0.3">
      <c r="A37" s="10" t="s">
        <v>12</v>
      </c>
      <c r="B37" s="11" t="s">
        <v>11</v>
      </c>
      <c r="C37" s="11" t="s">
        <v>13</v>
      </c>
      <c r="D37" s="11" t="s">
        <v>29</v>
      </c>
      <c r="E37" s="12">
        <v>13155.73</v>
      </c>
      <c r="F37" s="17">
        <f>SUM(E33:E37)</f>
        <v>25961.11</v>
      </c>
    </row>
    <row r="38" spans="1:6" ht="15.75" thickBot="1" x14ac:dyDescent="0.3">
      <c r="A38" t="s">
        <v>24</v>
      </c>
      <c r="B38" t="s">
        <v>11</v>
      </c>
      <c r="C38" t="s">
        <v>25</v>
      </c>
      <c r="D38" t="s">
        <v>9</v>
      </c>
      <c r="E38" s="3">
        <v>3941.13</v>
      </c>
    </row>
    <row r="39" spans="1:6" x14ac:dyDescent="0.25">
      <c r="A39" s="4" t="s">
        <v>24</v>
      </c>
      <c r="B39" s="5" t="s">
        <v>11</v>
      </c>
      <c r="C39" s="5" t="s">
        <v>25</v>
      </c>
      <c r="D39" s="5" t="s">
        <v>30</v>
      </c>
      <c r="E39" s="6">
        <v>12082.97</v>
      </c>
      <c r="F39" s="7"/>
    </row>
    <row r="40" spans="1:6" x14ac:dyDescent="0.25">
      <c r="A40" s="8" t="s">
        <v>24</v>
      </c>
      <c r="B40" t="s">
        <v>11</v>
      </c>
      <c r="C40" t="s">
        <v>25</v>
      </c>
      <c r="D40" t="s">
        <v>16</v>
      </c>
      <c r="E40" s="3">
        <v>1723.75</v>
      </c>
      <c r="F40" s="9"/>
    </row>
    <row r="41" spans="1:6" x14ac:dyDescent="0.25">
      <c r="A41" s="8" t="s">
        <v>24</v>
      </c>
      <c r="B41" t="s">
        <v>11</v>
      </c>
      <c r="C41" t="s">
        <v>25</v>
      </c>
      <c r="D41" t="s">
        <v>37</v>
      </c>
      <c r="E41" s="3">
        <v>5795.24</v>
      </c>
      <c r="F41" s="9"/>
    </row>
    <row r="42" spans="1:6" ht="15.75" thickBot="1" x14ac:dyDescent="0.3">
      <c r="A42" s="10" t="s">
        <v>24</v>
      </c>
      <c r="B42" s="11" t="s">
        <v>11</v>
      </c>
      <c r="C42" s="11" t="s">
        <v>25</v>
      </c>
      <c r="D42" s="11" t="s">
        <v>29</v>
      </c>
      <c r="E42" s="12">
        <v>12899.18</v>
      </c>
      <c r="F42" s="17">
        <f>SUM(E39:E42)</f>
        <v>32501.14</v>
      </c>
    </row>
    <row r="43" spans="1:6" ht="15.75" thickBot="1" x14ac:dyDescent="0.3">
      <c r="A43" t="s">
        <v>39</v>
      </c>
      <c r="B43" t="s">
        <v>11</v>
      </c>
      <c r="C43" t="s">
        <v>40</v>
      </c>
      <c r="D43" t="s">
        <v>9</v>
      </c>
      <c r="E43" s="3">
        <v>22.17</v>
      </c>
    </row>
    <row r="44" spans="1:6" x14ac:dyDescent="0.25">
      <c r="A44" s="4" t="s">
        <v>39</v>
      </c>
      <c r="B44" s="5" t="s">
        <v>11</v>
      </c>
      <c r="C44" s="5" t="s">
        <v>40</v>
      </c>
      <c r="D44" s="5" t="s">
        <v>30</v>
      </c>
      <c r="E44" s="6">
        <v>5998.2</v>
      </c>
      <c r="F44" s="7"/>
    </row>
    <row r="45" spans="1:6" x14ac:dyDescent="0.25">
      <c r="A45" s="8" t="s">
        <v>39</v>
      </c>
      <c r="B45" t="s">
        <v>11</v>
      </c>
      <c r="C45" t="s">
        <v>40</v>
      </c>
      <c r="D45" t="s">
        <v>16</v>
      </c>
      <c r="E45" s="3">
        <v>1730.62</v>
      </c>
      <c r="F45" s="9"/>
    </row>
    <row r="46" spans="1:6" x14ac:dyDescent="0.25">
      <c r="A46" s="8" t="s">
        <v>39</v>
      </c>
      <c r="B46" t="s">
        <v>11</v>
      </c>
      <c r="C46" t="s">
        <v>40</v>
      </c>
      <c r="D46" t="s">
        <v>37</v>
      </c>
      <c r="E46" s="3">
        <v>2895.78</v>
      </c>
      <c r="F46" s="9"/>
    </row>
    <row r="47" spans="1:6" ht="15.75" thickBot="1" x14ac:dyDescent="0.3">
      <c r="A47" s="10" t="s">
        <v>39</v>
      </c>
      <c r="B47" s="11" t="s">
        <v>11</v>
      </c>
      <c r="C47" s="11" t="s">
        <v>40</v>
      </c>
      <c r="D47" s="11" t="s">
        <v>29</v>
      </c>
      <c r="E47" s="12">
        <v>5708.41</v>
      </c>
      <c r="F47" s="17">
        <f>SUM(E44:E47)</f>
        <v>16333.01</v>
      </c>
    </row>
    <row r="48" spans="1:6" ht="15.75" thickBot="1" x14ac:dyDescent="0.3">
      <c r="A48" t="s">
        <v>35</v>
      </c>
      <c r="B48" t="s">
        <v>11</v>
      </c>
      <c r="C48" t="s">
        <v>36</v>
      </c>
      <c r="D48" t="s">
        <v>9</v>
      </c>
      <c r="E48" s="3">
        <v>2561.17</v>
      </c>
    </row>
    <row r="49" spans="1:6" x14ac:dyDescent="0.25">
      <c r="A49" s="4" t="s">
        <v>35</v>
      </c>
      <c r="B49" s="5" t="s">
        <v>11</v>
      </c>
      <c r="C49" s="5" t="s">
        <v>36</v>
      </c>
      <c r="D49" s="5" t="s">
        <v>30</v>
      </c>
      <c r="E49" s="6">
        <v>9714.7099999999991</v>
      </c>
      <c r="F49" s="7"/>
    </row>
    <row r="50" spans="1:6" x14ac:dyDescent="0.25">
      <c r="A50" s="8" t="s">
        <v>35</v>
      </c>
      <c r="B50" t="s">
        <v>11</v>
      </c>
      <c r="C50" t="s">
        <v>36</v>
      </c>
      <c r="D50" t="s">
        <v>16</v>
      </c>
      <c r="E50" s="3">
        <v>4059.02</v>
      </c>
      <c r="F50" s="9"/>
    </row>
    <row r="51" spans="1:6" x14ac:dyDescent="0.25">
      <c r="A51" s="8" t="s">
        <v>35</v>
      </c>
      <c r="B51" t="s">
        <v>11</v>
      </c>
      <c r="C51" t="s">
        <v>36</v>
      </c>
      <c r="D51" t="s">
        <v>37</v>
      </c>
      <c r="E51" s="3">
        <v>10184.879999999999</v>
      </c>
      <c r="F51" s="9"/>
    </row>
    <row r="52" spans="1:6" ht="15.75" thickBot="1" x14ac:dyDescent="0.3">
      <c r="A52" s="10" t="s">
        <v>35</v>
      </c>
      <c r="B52" s="11" t="s">
        <v>11</v>
      </c>
      <c r="C52" s="11" t="s">
        <v>36</v>
      </c>
      <c r="D52" s="11" t="s">
        <v>29</v>
      </c>
      <c r="E52" s="12">
        <v>24952.22</v>
      </c>
      <c r="F52" s="17">
        <f>SUM(E49:E52)</f>
        <v>48910.83</v>
      </c>
    </row>
    <row r="53" spans="1:6" ht="15.75" thickBot="1" x14ac:dyDescent="0.3">
      <c r="A53" t="s">
        <v>42</v>
      </c>
      <c r="B53" t="s">
        <v>11</v>
      </c>
      <c r="C53" t="s">
        <v>43</v>
      </c>
      <c r="D53" t="s">
        <v>9</v>
      </c>
      <c r="E53" s="3">
        <v>2715.5</v>
      </c>
    </row>
    <row r="54" spans="1:6" x14ac:dyDescent="0.25">
      <c r="A54" s="4" t="s">
        <v>42</v>
      </c>
      <c r="B54" s="5" t="s">
        <v>11</v>
      </c>
      <c r="C54" s="5" t="s">
        <v>43</v>
      </c>
      <c r="D54" s="5" t="s">
        <v>30</v>
      </c>
      <c r="E54" s="6">
        <v>7702.87</v>
      </c>
      <c r="F54" s="7"/>
    </row>
    <row r="55" spans="1:6" x14ac:dyDescent="0.25">
      <c r="A55" s="8" t="s">
        <v>42</v>
      </c>
      <c r="B55" t="s">
        <v>11</v>
      </c>
      <c r="C55" t="s">
        <v>43</v>
      </c>
      <c r="D55" t="s">
        <v>16</v>
      </c>
      <c r="E55" s="3">
        <v>2385.0100000000002</v>
      </c>
      <c r="F55" s="9"/>
    </row>
    <row r="56" spans="1:6" x14ac:dyDescent="0.25">
      <c r="A56" s="8" t="s">
        <v>42</v>
      </c>
      <c r="B56" t="s">
        <v>11</v>
      </c>
      <c r="C56" t="s">
        <v>43</v>
      </c>
      <c r="D56" t="s">
        <v>37</v>
      </c>
      <c r="E56" s="3">
        <v>8592.75</v>
      </c>
      <c r="F56" s="9"/>
    </row>
    <row r="57" spans="1:6" ht="15.75" thickBot="1" x14ac:dyDescent="0.3">
      <c r="A57" s="10" t="s">
        <v>42</v>
      </c>
      <c r="B57" s="11" t="s">
        <v>11</v>
      </c>
      <c r="C57" s="11" t="s">
        <v>43</v>
      </c>
      <c r="D57" s="11" t="s">
        <v>29</v>
      </c>
      <c r="E57" s="12">
        <v>45570.400000000001</v>
      </c>
      <c r="F57" s="17">
        <f>SUM(E54:E57)</f>
        <v>64251.03</v>
      </c>
    </row>
    <row r="58" spans="1:6" ht="15.75" thickBot="1" x14ac:dyDescent="0.3">
      <c r="A58" t="s">
        <v>18</v>
      </c>
      <c r="B58" t="s">
        <v>11</v>
      </c>
      <c r="C58" t="s">
        <v>19</v>
      </c>
      <c r="D58" t="s">
        <v>9</v>
      </c>
      <c r="E58" s="3">
        <v>157.86000000000001</v>
      </c>
    </row>
    <row r="59" spans="1:6" x14ac:dyDescent="0.25">
      <c r="A59" s="4" t="s">
        <v>18</v>
      </c>
      <c r="B59" s="5" t="s">
        <v>11</v>
      </c>
      <c r="C59" s="5" t="s">
        <v>19</v>
      </c>
      <c r="D59" s="5" t="s">
        <v>30</v>
      </c>
      <c r="E59" s="6">
        <v>1246.98</v>
      </c>
      <c r="F59" s="7"/>
    </row>
    <row r="60" spans="1:6" x14ac:dyDescent="0.25">
      <c r="A60" s="8" t="s">
        <v>18</v>
      </c>
      <c r="B60" t="s">
        <v>11</v>
      </c>
      <c r="C60" t="s">
        <v>19</v>
      </c>
      <c r="D60" t="s">
        <v>16</v>
      </c>
      <c r="E60" s="3">
        <v>119.31</v>
      </c>
      <c r="F60" s="9"/>
    </row>
    <row r="61" spans="1:6" x14ac:dyDescent="0.25">
      <c r="A61" s="8" t="s">
        <v>18</v>
      </c>
      <c r="B61" t="s">
        <v>11</v>
      </c>
      <c r="C61" t="s">
        <v>19</v>
      </c>
      <c r="D61" t="s">
        <v>37</v>
      </c>
      <c r="E61" s="3">
        <v>2995.84</v>
      </c>
      <c r="F61" s="9"/>
    </row>
    <row r="62" spans="1:6" ht="15.75" thickBot="1" x14ac:dyDescent="0.3">
      <c r="A62" s="10" t="s">
        <v>18</v>
      </c>
      <c r="B62" s="11" t="s">
        <v>11</v>
      </c>
      <c r="C62" s="11" t="s">
        <v>19</v>
      </c>
      <c r="D62" s="11" t="s">
        <v>29</v>
      </c>
      <c r="E62" s="12">
        <v>1965.47</v>
      </c>
      <c r="F62" s="17">
        <f>SUM(E59:E62)</f>
        <v>6327.6</v>
      </c>
    </row>
    <row r="63" spans="1:6" ht="15.75" thickBot="1" x14ac:dyDescent="0.3">
      <c r="A63" s="13" t="s">
        <v>57</v>
      </c>
      <c r="B63" s="14" t="s">
        <v>11</v>
      </c>
      <c r="C63" s="14" t="s">
        <v>58</v>
      </c>
      <c r="D63" s="14" t="s">
        <v>29</v>
      </c>
      <c r="E63" s="15">
        <v>597.01</v>
      </c>
      <c r="F63" s="16"/>
    </row>
    <row r="64" spans="1:6" ht="15.75" thickBot="1" x14ac:dyDescent="0.3">
      <c r="A64" s="13" t="s">
        <v>60</v>
      </c>
      <c r="B64" s="14" t="s">
        <v>11</v>
      </c>
      <c r="C64" s="14" t="s">
        <v>61</v>
      </c>
      <c r="D64" s="14" t="s">
        <v>29</v>
      </c>
      <c r="E64" s="15">
        <v>-307.29000000000002</v>
      </c>
      <c r="F64" s="16"/>
    </row>
    <row r="65" spans="1:6" ht="15.75" thickBot="1" x14ac:dyDescent="0.3">
      <c r="A65" t="s">
        <v>48</v>
      </c>
      <c r="B65" t="s">
        <v>11</v>
      </c>
      <c r="C65" t="s">
        <v>49</v>
      </c>
      <c r="D65" t="s">
        <v>9</v>
      </c>
      <c r="E65" s="3">
        <v>4877.62</v>
      </c>
    </row>
    <row r="66" spans="1:6" x14ac:dyDescent="0.25">
      <c r="A66" s="4" t="s">
        <v>48</v>
      </c>
      <c r="B66" s="5" t="s">
        <v>11</v>
      </c>
      <c r="C66" s="5" t="s">
        <v>49</v>
      </c>
      <c r="D66" s="5" t="s">
        <v>16</v>
      </c>
      <c r="E66" s="6">
        <v>1675.97</v>
      </c>
      <c r="F66" s="7"/>
    </row>
    <row r="67" spans="1:6" x14ac:dyDescent="0.25">
      <c r="A67" s="8" t="s">
        <v>48</v>
      </c>
      <c r="B67" t="s">
        <v>11</v>
      </c>
      <c r="C67" t="s">
        <v>49</v>
      </c>
      <c r="D67" t="s">
        <v>37</v>
      </c>
      <c r="E67" s="3">
        <v>5897.72</v>
      </c>
      <c r="F67" s="9"/>
    </row>
    <row r="68" spans="1:6" ht="15.75" thickBot="1" x14ac:dyDescent="0.3">
      <c r="A68" s="10" t="s">
        <v>48</v>
      </c>
      <c r="B68" s="11" t="s">
        <v>11</v>
      </c>
      <c r="C68" s="11" t="s">
        <v>49</v>
      </c>
      <c r="D68" s="11" t="s">
        <v>29</v>
      </c>
      <c r="E68" s="12">
        <v>22023.7</v>
      </c>
      <c r="F68" s="17">
        <f>SUM(E66:E68)</f>
        <v>29597.39</v>
      </c>
    </row>
  </sheetData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>
        <v>16</v>
      </c>
      <c r="I2" s="3">
        <v>944.98</v>
      </c>
    </row>
    <row r="3" spans="1:9" x14ac:dyDescent="0.25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14</v>
      </c>
      <c r="G3" t="s">
        <v>15</v>
      </c>
      <c r="H3" s="2">
        <v>4</v>
      </c>
      <c r="I3" s="3">
        <v>119.31</v>
      </c>
    </row>
    <row r="4" spans="1:9" x14ac:dyDescent="0.25">
      <c r="A4" t="s">
        <v>16</v>
      </c>
      <c r="B4" t="s">
        <v>20</v>
      </c>
      <c r="C4" t="s">
        <v>11</v>
      </c>
      <c r="D4" t="s">
        <v>21</v>
      </c>
      <c r="E4" t="s">
        <v>22</v>
      </c>
      <c r="F4" t="s">
        <v>14</v>
      </c>
      <c r="G4" t="s">
        <v>15</v>
      </c>
      <c r="H4" s="2">
        <v>3</v>
      </c>
      <c r="I4" s="3">
        <v>83.33</v>
      </c>
    </row>
    <row r="5" spans="1:9" x14ac:dyDescent="0.25">
      <c r="A5" t="s">
        <v>9</v>
      </c>
      <c r="B5" t="s">
        <v>23</v>
      </c>
      <c r="C5" t="s">
        <v>11</v>
      </c>
      <c r="D5" t="s">
        <v>24</v>
      </c>
      <c r="E5" t="s">
        <v>25</v>
      </c>
      <c r="F5" t="s">
        <v>14</v>
      </c>
      <c r="G5" t="s">
        <v>15</v>
      </c>
      <c r="H5" s="2">
        <v>26</v>
      </c>
      <c r="I5" s="3">
        <v>3941.13</v>
      </c>
    </row>
    <row r="6" spans="1:9" x14ac:dyDescent="0.25">
      <c r="A6" t="s">
        <v>9</v>
      </c>
      <c r="B6" t="s">
        <v>26</v>
      </c>
      <c r="C6" t="s">
        <v>11</v>
      </c>
      <c r="D6" t="s">
        <v>27</v>
      </c>
      <c r="E6" t="s">
        <v>28</v>
      </c>
      <c r="F6" t="s">
        <v>14</v>
      </c>
      <c r="G6" t="s">
        <v>15</v>
      </c>
      <c r="H6" s="2">
        <v>9</v>
      </c>
      <c r="I6" s="3">
        <v>1657.76</v>
      </c>
    </row>
    <row r="7" spans="1:9" x14ac:dyDescent="0.25">
      <c r="A7" t="s">
        <v>29</v>
      </c>
      <c r="B7" t="s">
        <v>26</v>
      </c>
      <c r="C7" t="s">
        <v>11</v>
      </c>
      <c r="D7" t="s">
        <v>27</v>
      </c>
      <c r="E7" t="s">
        <v>28</v>
      </c>
      <c r="F7" t="s">
        <v>14</v>
      </c>
      <c r="G7" t="s">
        <v>15</v>
      </c>
      <c r="H7" s="2">
        <v>108</v>
      </c>
      <c r="I7" s="3">
        <v>6795.15</v>
      </c>
    </row>
    <row r="8" spans="1:9" x14ac:dyDescent="0.25">
      <c r="A8" t="s">
        <v>30</v>
      </c>
      <c r="B8" t="s">
        <v>31</v>
      </c>
      <c r="C8" t="s">
        <v>11</v>
      </c>
      <c r="D8" t="s">
        <v>32</v>
      </c>
      <c r="E8" t="s">
        <v>33</v>
      </c>
      <c r="F8" t="s">
        <v>14</v>
      </c>
      <c r="G8" t="s">
        <v>15</v>
      </c>
      <c r="H8" s="2">
        <v>98</v>
      </c>
      <c r="I8" s="3">
        <v>7562.48</v>
      </c>
    </row>
    <row r="9" spans="1:9" x14ac:dyDescent="0.25">
      <c r="A9" t="s">
        <v>29</v>
      </c>
      <c r="B9" t="s">
        <v>31</v>
      </c>
      <c r="C9" t="s">
        <v>11</v>
      </c>
      <c r="D9" t="s">
        <v>32</v>
      </c>
      <c r="E9" t="s">
        <v>33</v>
      </c>
      <c r="F9" t="s">
        <v>14</v>
      </c>
      <c r="G9" t="s">
        <v>15</v>
      </c>
      <c r="H9" s="2">
        <v>210</v>
      </c>
      <c r="I9" s="3">
        <v>12790.97</v>
      </c>
    </row>
    <row r="10" spans="1:9" x14ac:dyDescent="0.25">
      <c r="A10" t="s">
        <v>30</v>
      </c>
      <c r="B10" t="s">
        <v>20</v>
      </c>
      <c r="C10" t="s">
        <v>11</v>
      </c>
      <c r="D10" t="s">
        <v>21</v>
      </c>
      <c r="E10" t="s">
        <v>22</v>
      </c>
      <c r="F10" t="s">
        <v>14</v>
      </c>
      <c r="G10" t="s">
        <v>15</v>
      </c>
      <c r="H10" s="2">
        <v>31</v>
      </c>
      <c r="I10" s="3">
        <v>2517.13</v>
      </c>
    </row>
    <row r="11" spans="1:9" x14ac:dyDescent="0.25">
      <c r="A11" t="s">
        <v>30</v>
      </c>
      <c r="B11" t="s">
        <v>34</v>
      </c>
      <c r="C11" t="s">
        <v>11</v>
      </c>
      <c r="D11" t="s">
        <v>35</v>
      </c>
      <c r="E11" t="s">
        <v>36</v>
      </c>
      <c r="F11" t="s">
        <v>14</v>
      </c>
      <c r="G11" t="s">
        <v>15</v>
      </c>
      <c r="H11" s="2">
        <v>150</v>
      </c>
      <c r="I11" s="3">
        <v>9714.7099999999991</v>
      </c>
    </row>
    <row r="12" spans="1:9" x14ac:dyDescent="0.25">
      <c r="A12" t="s">
        <v>37</v>
      </c>
      <c r="B12" t="s">
        <v>17</v>
      </c>
      <c r="C12" t="s">
        <v>11</v>
      </c>
      <c r="D12" t="s">
        <v>18</v>
      </c>
      <c r="E12" t="s">
        <v>19</v>
      </c>
      <c r="F12" t="s">
        <v>14</v>
      </c>
      <c r="G12" t="s">
        <v>15</v>
      </c>
      <c r="H12" s="2">
        <v>32</v>
      </c>
      <c r="I12" s="3">
        <v>2995.84</v>
      </c>
    </row>
    <row r="13" spans="1:9" x14ac:dyDescent="0.25">
      <c r="A13" t="s">
        <v>29</v>
      </c>
      <c r="B13" t="s">
        <v>38</v>
      </c>
      <c r="C13" t="s">
        <v>11</v>
      </c>
      <c r="D13" t="s">
        <v>39</v>
      </c>
      <c r="E13" t="s">
        <v>40</v>
      </c>
      <c r="F13" t="s">
        <v>14</v>
      </c>
      <c r="G13" t="s">
        <v>15</v>
      </c>
      <c r="H13" s="2">
        <v>30</v>
      </c>
      <c r="I13" s="3">
        <v>5708.41</v>
      </c>
    </row>
    <row r="14" spans="1:9" x14ac:dyDescent="0.25">
      <c r="A14" t="s">
        <v>9</v>
      </c>
      <c r="B14" t="s">
        <v>31</v>
      </c>
      <c r="C14" t="s">
        <v>11</v>
      </c>
      <c r="D14" t="s">
        <v>32</v>
      </c>
      <c r="E14" t="s">
        <v>33</v>
      </c>
      <c r="F14" t="s">
        <v>14</v>
      </c>
      <c r="G14" t="s">
        <v>15</v>
      </c>
      <c r="H14" s="2">
        <v>14</v>
      </c>
      <c r="I14" s="3">
        <v>1276.1500000000001</v>
      </c>
    </row>
    <row r="15" spans="1:9" x14ac:dyDescent="0.25">
      <c r="A15" t="s">
        <v>37</v>
      </c>
      <c r="B15" t="s">
        <v>38</v>
      </c>
      <c r="C15" t="s">
        <v>11</v>
      </c>
      <c r="D15" t="s">
        <v>39</v>
      </c>
      <c r="E15" t="s">
        <v>40</v>
      </c>
      <c r="F15" t="s">
        <v>14</v>
      </c>
      <c r="G15" t="s">
        <v>15</v>
      </c>
      <c r="H15" s="2">
        <v>17</v>
      </c>
      <c r="I15" s="3">
        <v>2895.78</v>
      </c>
    </row>
    <row r="16" spans="1:9" x14ac:dyDescent="0.25">
      <c r="A16" t="s">
        <v>9</v>
      </c>
      <c r="B16" t="s">
        <v>38</v>
      </c>
      <c r="C16" t="s">
        <v>11</v>
      </c>
      <c r="D16" t="s">
        <v>39</v>
      </c>
      <c r="E16" t="s">
        <v>40</v>
      </c>
      <c r="F16" t="s">
        <v>14</v>
      </c>
      <c r="G16" t="s">
        <v>15</v>
      </c>
      <c r="H16" s="2">
        <v>2</v>
      </c>
      <c r="I16" s="3">
        <v>22.17</v>
      </c>
    </row>
    <row r="17" spans="1:9" x14ac:dyDescent="0.25">
      <c r="A17" t="s">
        <v>37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s="2">
        <v>80</v>
      </c>
      <c r="I17" s="3">
        <v>6045.64</v>
      </c>
    </row>
    <row r="18" spans="1:9" x14ac:dyDescent="0.25">
      <c r="A18" t="s">
        <v>29</v>
      </c>
      <c r="B18" t="s">
        <v>41</v>
      </c>
      <c r="C18" t="s">
        <v>11</v>
      </c>
      <c r="D18" t="s">
        <v>42</v>
      </c>
      <c r="E18" t="s">
        <v>43</v>
      </c>
      <c r="F18" t="s">
        <v>14</v>
      </c>
      <c r="G18" t="s">
        <v>15</v>
      </c>
      <c r="H18" s="2">
        <v>464</v>
      </c>
      <c r="I18" s="3">
        <v>45570.400000000001</v>
      </c>
    </row>
    <row r="19" spans="1:9" x14ac:dyDescent="0.25">
      <c r="A19" t="s">
        <v>9</v>
      </c>
      <c r="B19" t="s">
        <v>44</v>
      </c>
      <c r="C19" t="s">
        <v>11</v>
      </c>
      <c r="D19" t="s">
        <v>45</v>
      </c>
      <c r="E19" t="s">
        <v>46</v>
      </c>
      <c r="F19" t="s">
        <v>14</v>
      </c>
      <c r="G19" t="s">
        <v>15</v>
      </c>
      <c r="H19" s="2">
        <v>4</v>
      </c>
      <c r="I19" s="3">
        <v>247.32</v>
      </c>
    </row>
    <row r="20" spans="1:9" x14ac:dyDescent="0.25">
      <c r="A20" t="s">
        <v>30</v>
      </c>
      <c r="B20" t="s">
        <v>23</v>
      </c>
      <c r="C20" t="s">
        <v>11</v>
      </c>
      <c r="D20" t="s">
        <v>24</v>
      </c>
      <c r="E20" t="s">
        <v>25</v>
      </c>
      <c r="F20" t="s">
        <v>14</v>
      </c>
      <c r="G20" t="s">
        <v>15</v>
      </c>
      <c r="H20" s="2">
        <v>136</v>
      </c>
      <c r="I20" s="3">
        <v>12082.97</v>
      </c>
    </row>
    <row r="21" spans="1:9" x14ac:dyDescent="0.25">
      <c r="A21" t="s">
        <v>16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s="2">
        <v>22</v>
      </c>
      <c r="I21" s="3">
        <v>1033.93</v>
      </c>
    </row>
    <row r="22" spans="1:9" x14ac:dyDescent="0.25">
      <c r="A22" t="s">
        <v>30</v>
      </c>
      <c r="B22" t="s">
        <v>38</v>
      </c>
      <c r="C22" t="s">
        <v>11</v>
      </c>
      <c r="D22" t="s">
        <v>39</v>
      </c>
      <c r="E22" t="s">
        <v>40</v>
      </c>
      <c r="F22" t="s">
        <v>14</v>
      </c>
      <c r="G22" t="s">
        <v>15</v>
      </c>
      <c r="H22" s="2">
        <v>17</v>
      </c>
      <c r="I22" s="3">
        <v>5998.2</v>
      </c>
    </row>
    <row r="23" spans="1:9" x14ac:dyDescent="0.25">
      <c r="A23" t="s">
        <v>30</v>
      </c>
      <c r="B23" t="s">
        <v>44</v>
      </c>
      <c r="C23" t="s">
        <v>11</v>
      </c>
      <c r="D23" t="s">
        <v>45</v>
      </c>
      <c r="E23" t="s">
        <v>46</v>
      </c>
      <c r="F23" t="s">
        <v>14</v>
      </c>
      <c r="G23" t="s">
        <v>15</v>
      </c>
      <c r="H23" s="2">
        <v>52</v>
      </c>
      <c r="I23" s="3">
        <v>2644.17</v>
      </c>
    </row>
    <row r="24" spans="1:9" x14ac:dyDescent="0.25">
      <c r="A24" t="s">
        <v>29</v>
      </c>
      <c r="B24" t="s">
        <v>47</v>
      </c>
      <c r="C24" t="s">
        <v>11</v>
      </c>
      <c r="D24" t="s">
        <v>48</v>
      </c>
      <c r="E24" t="s">
        <v>49</v>
      </c>
      <c r="F24" t="s">
        <v>14</v>
      </c>
      <c r="G24" t="s">
        <v>15</v>
      </c>
      <c r="H24" s="2">
        <v>87</v>
      </c>
      <c r="I24" s="3">
        <v>22023.7</v>
      </c>
    </row>
    <row r="25" spans="1:9" x14ac:dyDescent="0.25">
      <c r="A25" t="s">
        <v>16</v>
      </c>
      <c r="B25" t="s">
        <v>26</v>
      </c>
      <c r="C25" t="s">
        <v>11</v>
      </c>
      <c r="D25" t="s">
        <v>27</v>
      </c>
      <c r="E25" t="s">
        <v>28</v>
      </c>
      <c r="F25" t="s">
        <v>14</v>
      </c>
      <c r="G25" t="s">
        <v>15</v>
      </c>
      <c r="H25" s="2">
        <v>45</v>
      </c>
      <c r="I25" s="3">
        <v>1997.94</v>
      </c>
    </row>
    <row r="26" spans="1:9" x14ac:dyDescent="0.25">
      <c r="A26" t="s">
        <v>37</v>
      </c>
      <c r="B26" t="s">
        <v>20</v>
      </c>
      <c r="C26" t="s">
        <v>11</v>
      </c>
      <c r="D26" t="s">
        <v>21</v>
      </c>
      <c r="E26" t="s">
        <v>22</v>
      </c>
      <c r="F26" t="s">
        <v>14</v>
      </c>
      <c r="G26" t="s">
        <v>15</v>
      </c>
      <c r="H26" s="2">
        <v>27</v>
      </c>
      <c r="I26" s="3">
        <v>1770.81</v>
      </c>
    </row>
    <row r="27" spans="1:9" x14ac:dyDescent="0.25">
      <c r="A27" t="s">
        <v>30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s="2">
        <v>112</v>
      </c>
      <c r="I27" s="3">
        <v>5505.04</v>
      </c>
    </row>
    <row r="28" spans="1:9" x14ac:dyDescent="0.25">
      <c r="A28" t="s">
        <v>30</v>
      </c>
      <c r="B28" t="s">
        <v>41</v>
      </c>
      <c r="C28" t="s">
        <v>11</v>
      </c>
      <c r="D28" t="s">
        <v>42</v>
      </c>
      <c r="E28" t="s">
        <v>43</v>
      </c>
      <c r="F28" t="s">
        <v>14</v>
      </c>
      <c r="G28" t="s">
        <v>15</v>
      </c>
      <c r="H28" s="2">
        <v>147</v>
      </c>
      <c r="I28" s="3">
        <v>7702.87</v>
      </c>
    </row>
    <row r="29" spans="1:9" x14ac:dyDescent="0.25">
      <c r="A29" t="s">
        <v>9</v>
      </c>
      <c r="B29" t="s">
        <v>47</v>
      </c>
      <c r="C29" t="s">
        <v>11</v>
      </c>
      <c r="D29" t="s">
        <v>48</v>
      </c>
      <c r="E29" t="s">
        <v>49</v>
      </c>
      <c r="F29" t="s">
        <v>14</v>
      </c>
      <c r="G29" t="s">
        <v>15</v>
      </c>
      <c r="H29" s="2">
        <v>12</v>
      </c>
      <c r="I29" s="3">
        <v>4877.62</v>
      </c>
    </row>
    <row r="30" spans="1:9" x14ac:dyDescent="0.25">
      <c r="A30" t="s">
        <v>9</v>
      </c>
      <c r="B30" t="s">
        <v>41</v>
      </c>
      <c r="C30" t="s">
        <v>11</v>
      </c>
      <c r="D30" t="s">
        <v>42</v>
      </c>
      <c r="E30" t="s">
        <v>43</v>
      </c>
      <c r="F30" t="s">
        <v>14</v>
      </c>
      <c r="G30" t="s">
        <v>15</v>
      </c>
      <c r="H30" s="2">
        <v>41</v>
      </c>
      <c r="I30" s="3">
        <v>2715.5</v>
      </c>
    </row>
    <row r="31" spans="1:9" x14ac:dyDescent="0.25">
      <c r="A31" t="s">
        <v>16</v>
      </c>
      <c r="B31" t="s">
        <v>50</v>
      </c>
      <c r="C31" t="s">
        <v>11</v>
      </c>
      <c r="D31" t="s">
        <v>51</v>
      </c>
      <c r="E31" t="s">
        <v>52</v>
      </c>
      <c r="F31" t="s">
        <v>14</v>
      </c>
      <c r="G31" t="s">
        <v>15</v>
      </c>
      <c r="H31" s="2">
        <v>53</v>
      </c>
      <c r="I31" s="3">
        <v>2257.17</v>
      </c>
    </row>
    <row r="32" spans="1:9" x14ac:dyDescent="0.25">
      <c r="A32" t="s">
        <v>29</v>
      </c>
      <c r="B32" t="s">
        <v>44</v>
      </c>
      <c r="C32" t="s">
        <v>11</v>
      </c>
      <c r="D32" t="s">
        <v>45</v>
      </c>
      <c r="E32" t="s">
        <v>46</v>
      </c>
      <c r="F32" t="s">
        <v>14</v>
      </c>
      <c r="G32" t="s">
        <v>15</v>
      </c>
      <c r="H32" s="2">
        <v>67</v>
      </c>
      <c r="I32" s="3">
        <v>9352.06</v>
      </c>
    </row>
    <row r="33" spans="1:9" x14ac:dyDescent="0.25">
      <c r="A33" t="s">
        <v>37</v>
      </c>
      <c r="B33" t="s">
        <v>53</v>
      </c>
      <c r="C33" t="s">
        <v>11</v>
      </c>
      <c r="D33" t="s">
        <v>54</v>
      </c>
      <c r="E33" t="s">
        <v>55</v>
      </c>
      <c r="F33" t="s">
        <v>14</v>
      </c>
      <c r="G33" t="s">
        <v>15</v>
      </c>
      <c r="H33" s="2">
        <v>102</v>
      </c>
      <c r="I33" s="3">
        <v>10628.58</v>
      </c>
    </row>
    <row r="34" spans="1:9" x14ac:dyDescent="0.25">
      <c r="A34" t="s">
        <v>9</v>
      </c>
      <c r="B34" t="s">
        <v>53</v>
      </c>
      <c r="C34" t="s">
        <v>11</v>
      </c>
      <c r="D34" t="s">
        <v>54</v>
      </c>
      <c r="E34" t="s">
        <v>55</v>
      </c>
      <c r="F34" t="s">
        <v>14</v>
      </c>
      <c r="G34" t="s">
        <v>15</v>
      </c>
      <c r="H34" s="2">
        <v>19</v>
      </c>
      <c r="I34" s="3">
        <v>1776.1</v>
      </c>
    </row>
    <row r="35" spans="1:9" x14ac:dyDescent="0.25">
      <c r="A35" t="s">
        <v>16</v>
      </c>
      <c r="B35" t="s">
        <v>34</v>
      </c>
      <c r="C35" t="s">
        <v>11</v>
      </c>
      <c r="D35" t="s">
        <v>35</v>
      </c>
      <c r="E35" t="s">
        <v>36</v>
      </c>
      <c r="F35" t="s">
        <v>14</v>
      </c>
      <c r="G35" t="s">
        <v>15</v>
      </c>
      <c r="H35" s="2">
        <v>70</v>
      </c>
      <c r="I35" s="3">
        <v>4059.02</v>
      </c>
    </row>
    <row r="36" spans="1:9" x14ac:dyDescent="0.25">
      <c r="A36" t="s">
        <v>37</v>
      </c>
      <c r="B36" t="s">
        <v>41</v>
      </c>
      <c r="C36" t="s">
        <v>11</v>
      </c>
      <c r="D36" t="s">
        <v>42</v>
      </c>
      <c r="E36" t="s">
        <v>43</v>
      </c>
      <c r="F36" t="s">
        <v>14</v>
      </c>
      <c r="G36" t="s">
        <v>15</v>
      </c>
      <c r="H36" s="2">
        <v>120</v>
      </c>
      <c r="I36" s="3">
        <v>8592.75</v>
      </c>
    </row>
    <row r="37" spans="1:9" x14ac:dyDescent="0.25">
      <c r="A37" t="s">
        <v>16</v>
      </c>
      <c r="B37" t="s">
        <v>44</v>
      </c>
      <c r="C37" t="s">
        <v>11</v>
      </c>
      <c r="D37" t="s">
        <v>45</v>
      </c>
      <c r="E37" t="s">
        <v>46</v>
      </c>
      <c r="F37" t="s">
        <v>14</v>
      </c>
      <c r="G37" t="s">
        <v>15</v>
      </c>
      <c r="H37" s="2">
        <v>18</v>
      </c>
      <c r="I37" s="3">
        <v>722.36</v>
      </c>
    </row>
    <row r="38" spans="1:9" x14ac:dyDescent="0.25">
      <c r="A38" t="s">
        <v>29</v>
      </c>
      <c r="B38" t="s">
        <v>53</v>
      </c>
      <c r="C38" t="s">
        <v>11</v>
      </c>
      <c r="D38" t="s">
        <v>54</v>
      </c>
      <c r="E38" t="s">
        <v>55</v>
      </c>
      <c r="F38" t="s">
        <v>14</v>
      </c>
      <c r="G38" t="s">
        <v>15</v>
      </c>
      <c r="H38" s="2">
        <v>213</v>
      </c>
      <c r="I38" s="3">
        <v>17724.28</v>
      </c>
    </row>
    <row r="39" spans="1:9" x14ac:dyDescent="0.25">
      <c r="A39" t="s">
        <v>37</v>
      </c>
      <c r="B39" t="s">
        <v>50</v>
      </c>
      <c r="C39" t="s">
        <v>11</v>
      </c>
      <c r="D39" t="s">
        <v>51</v>
      </c>
      <c r="E39" t="s">
        <v>52</v>
      </c>
      <c r="F39" t="s">
        <v>14</v>
      </c>
      <c r="G39" t="s">
        <v>15</v>
      </c>
      <c r="H39" s="2">
        <v>195</v>
      </c>
      <c r="I39" s="3">
        <v>14541.38</v>
      </c>
    </row>
    <row r="40" spans="1:9" x14ac:dyDescent="0.25">
      <c r="A40" t="s">
        <v>16</v>
      </c>
      <c r="B40" t="s">
        <v>23</v>
      </c>
      <c r="C40" t="s">
        <v>11</v>
      </c>
      <c r="D40" t="s">
        <v>24</v>
      </c>
      <c r="E40" t="s">
        <v>25</v>
      </c>
      <c r="F40" t="s">
        <v>14</v>
      </c>
      <c r="G40" t="s">
        <v>15</v>
      </c>
      <c r="H40" s="2">
        <v>22</v>
      </c>
      <c r="I40" s="3">
        <v>1723.75</v>
      </c>
    </row>
    <row r="41" spans="1:9" x14ac:dyDescent="0.25">
      <c r="A41" t="s">
        <v>29</v>
      </c>
      <c r="B41" t="s">
        <v>20</v>
      </c>
      <c r="C41" t="s">
        <v>11</v>
      </c>
      <c r="D41" t="s">
        <v>21</v>
      </c>
      <c r="E41" t="s">
        <v>22</v>
      </c>
      <c r="F41" t="s">
        <v>14</v>
      </c>
      <c r="G41" t="s">
        <v>15</v>
      </c>
      <c r="H41" s="2">
        <v>39</v>
      </c>
      <c r="I41" s="3">
        <v>3819.68</v>
      </c>
    </row>
    <row r="42" spans="1:9" x14ac:dyDescent="0.25">
      <c r="A42" t="s">
        <v>37</v>
      </c>
      <c r="B42" t="s">
        <v>31</v>
      </c>
      <c r="C42" t="s">
        <v>11</v>
      </c>
      <c r="D42" t="s">
        <v>32</v>
      </c>
      <c r="E42" t="s">
        <v>33</v>
      </c>
      <c r="F42" t="s">
        <v>14</v>
      </c>
      <c r="G42" t="s">
        <v>15</v>
      </c>
      <c r="H42" s="2">
        <v>104</v>
      </c>
      <c r="I42" s="3">
        <v>9126.99</v>
      </c>
    </row>
    <row r="43" spans="1:9" x14ac:dyDescent="0.25">
      <c r="A43" t="s">
        <v>37</v>
      </c>
      <c r="B43" t="s">
        <v>34</v>
      </c>
      <c r="C43" t="s">
        <v>11</v>
      </c>
      <c r="D43" t="s">
        <v>35</v>
      </c>
      <c r="E43" t="s">
        <v>36</v>
      </c>
      <c r="F43" t="s">
        <v>14</v>
      </c>
      <c r="G43" t="s">
        <v>15</v>
      </c>
      <c r="H43" s="2">
        <v>97</v>
      </c>
      <c r="I43" s="3">
        <v>10184.879999999999</v>
      </c>
    </row>
    <row r="44" spans="1:9" x14ac:dyDescent="0.25">
      <c r="A44" t="s">
        <v>29</v>
      </c>
      <c r="B44" t="s">
        <v>17</v>
      </c>
      <c r="C44" t="s">
        <v>11</v>
      </c>
      <c r="D44" t="s">
        <v>18</v>
      </c>
      <c r="E44" t="s">
        <v>19</v>
      </c>
      <c r="F44" t="s">
        <v>14</v>
      </c>
      <c r="G44" t="s">
        <v>15</v>
      </c>
      <c r="H44" s="2">
        <v>27</v>
      </c>
      <c r="I44" s="3">
        <v>1965.47</v>
      </c>
    </row>
    <row r="45" spans="1:9" x14ac:dyDescent="0.25">
      <c r="A45" t="s">
        <v>37</v>
      </c>
      <c r="B45" t="s">
        <v>23</v>
      </c>
      <c r="C45" t="s">
        <v>11</v>
      </c>
      <c r="D45" t="s">
        <v>24</v>
      </c>
      <c r="E45" t="s">
        <v>25</v>
      </c>
      <c r="F45" t="s">
        <v>14</v>
      </c>
      <c r="G45" t="s">
        <v>15</v>
      </c>
      <c r="H45" s="2">
        <v>86</v>
      </c>
      <c r="I45" s="3">
        <v>5795.24</v>
      </c>
    </row>
    <row r="46" spans="1:9" x14ac:dyDescent="0.25">
      <c r="A46" t="s">
        <v>30</v>
      </c>
      <c r="B46" t="s">
        <v>17</v>
      </c>
      <c r="C46" t="s">
        <v>11</v>
      </c>
      <c r="D46" t="s">
        <v>18</v>
      </c>
      <c r="E46" t="s">
        <v>19</v>
      </c>
      <c r="F46" t="s">
        <v>14</v>
      </c>
      <c r="G46" t="s">
        <v>15</v>
      </c>
      <c r="H46" s="2">
        <v>28</v>
      </c>
      <c r="I46" s="3">
        <v>1246.98</v>
      </c>
    </row>
    <row r="47" spans="1:9" x14ac:dyDescent="0.25">
      <c r="A47" t="s">
        <v>30</v>
      </c>
      <c r="B47" t="s">
        <v>53</v>
      </c>
      <c r="C47" t="s">
        <v>11</v>
      </c>
      <c r="D47" t="s">
        <v>54</v>
      </c>
      <c r="E47" t="s">
        <v>55</v>
      </c>
      <c r="F47" t="s">
        <v>14</v>
      </c>
      <c r="G47" t="s">
        <v>15</v>
      </c>
      <c r="H47" s="2">
        <v>134</v>
      </c>
      <c r="I47" s="3">
        <v>9153.39</v>
      </c>
    </row>
    <row r="48" spans="1:9" x14ac:dyDescent="0.25">
      <c r="A48" t="s">
        <v>9</v>
      </c>
      <c r="B48" t="s">
        <v>34</v>
      </c>
      <c r="C48" t="s">
        <v>11</v>
      </c>
      <c r="D48" t="s">
        <v>35</v>
      </c>
      <c r="E48" t="s">
        <v>36</v>
      </c>
      <c r="F48" t="s">
        <v>14</v>
      </c>
      <c r="G48" t="s">
        <v>15</v>
      </c>
      <c r="H48" s="2">
        <v>24</v>
      </c>
      <c r="I48" s="3">
        <v>2561.17</v>
      </c>
    </row>
    <row r="49" spans="1:9" x14ac:dyDescent="0.25">
      <c r="A49" t="s">
        <v>29</v>
      </c>
      <c r="B49" t="s">
        <v>56</v>
      </c>
      <c r="C49" t="s">
        <v>11</v>
      </c>
      <c r="D49" t="s">
        <v>57</v>
      </c>
      <c r="E49" t="s">
        <v>58</v>
      </c>
      <c r="F49" t="s">
        <v>14</v>
      </c>
      <c r="G49" t="s">
        <v>15</v>
      </c>
      <c r="H49" s="2">
        <v>2</v>
      </c>
      <c r="I49" s="3">
        <v>597.01</v>
      </c>
    </row>
    <row r="50" spans="1:9" x14ac:dyDescent="0.25">
      <c r="A50" t="s">
        <v>29</v>
      </c>
      <c r="B50" t="s">
        <v>34</v>
      </c>
      <c r="C50" t="s">
        <v>11</v>
      </c>
      <c r="D50" t="s">
        <v>35</v>
      </c>
      <c r="E50" t="s">
        <v>36</v>
      </c>
      <c r="F50" t="s">
        <v>14</v>
      </c>
      <c r="G50" t="s">
        <v>15</v>
      </c>
      <c r="H50" s="2">
        <v>287</v>
      </c>
      <c r="I50" s="3">
        <v>24952.22</v>
      </c>
    </row>
    <row r="51" spans="1:9" x14ac:dyDescent="0.25">
      <c r="A51" t="s">
        <v>37</v>
      </c>
      <c r="B51" t="s">
        <v>47</v>
      </c>
      <c r="C51" t="s">
        <v>11</v>
      </c>
      <c r="D51" t="s">
        <v>48</v>
      </c>
      <c r="E51" t="s">
        <v>49</v>
      </c>
      <c r="F51" t="s">
        <v>14</v>
      </c>
      <c r="G51" t="s">
        <v>15</v>
      </c>
      <c r="H51" s="2">
        <v>30</v>
      </c>
      <c r="I51" s="3">
        <v>5897.72</v>
      </c>
    </row>
    <row r="52" spans="1:9" x14ac:dyDescent="0.25">
      <c r="A52" t="s">
        <v>29</v>
      </c>
      <c r="B52" t="s">
        <v>59</v>
      </c>
      <c r="C52" t="s">
        <v>11</v>
      </c>
      <c r="D52" t="s">
        <v>60</v>
      </c>
      <c r="E52" t="s">
        <v>61</v>
      </c>
      <c r="F52" t="s">
        <v>14</v>
      </c>
      <c r="G52" t="s">
        <v>15</v>
      </c>
      <c r="H52" s="2">
        <v>1</v>
      </c>
      <c r="I52" s="3">
        <v>-307.29000000000002</v>
      </c>
    </row>
    <row r="53" spans="1:9" x14ac:dyDescent="0.25">
      <c r="A53" t="s">
        <v>9</v>
      </c>
      <c r="B53" t="s">
        <v>17</v>
      </c>
      <c r="C53" t="s">
        <v>11</v>
      </c>
      <c r="D53" t="s">
        <v>18</v>
      </c>
      <c r="E53" t="s">
        <v>19</v>
      </c>
      <c r="F53" t="s">
        <v>14</v>
      </c>
      <c r="G53" t="s">
        <v>15</v>
      </c>
      <c r="H53" s="2">
        <v>3</v>
      </c>
      <c r="I53" s="3">
        <v>157.86000000000001</v>
      </c>
    </row>
    <row r="54" spans="1:9" x14ac:dyDescent="0.25">
      <c r="A54" t="s">
        <v>9</v>
      </c>
      <c r="B54" t="s">
        <v>20</v>
      </c>
      <c r="C54" t="s">
        <v>11</v>
      </c>
      <c r="D54" t="s">
        <v>21</v>
      </c>
      <c r="E54" t="s">
        <v>22</v>
      </c>
      <c r="F54" t="s">
        <v>14</v>
      </c>
      <c r="G54" t="s">
        <v>15</v>
      </c>
      <c r="H54" s="2">
        <v>7</v>
      </c>
      <c r="I54" s="3">
        <v>266.51</v>
      </c>
    </row>
    <row r="55" spans="1:9" x14ac:dyDescent="0.25">
      <c r="A55" t="s">
        <v>29</v>
      </c>
      <c r="B55" t="s">
        <v>23</v>
      </c>
      <c r="C55" t="s">
        <v>11</v>
      </c>
      <c r="D55" t="s">
        <v>24</v>
      </c>
      <c r="E55" t="s">
        <v>25</v>
      </c>
      <c r="F55" t="s">
        <v>14</v>
      </c>
      <c r="G55" t="s">
        <v>15</v>
      </c>
      <c r="H55" s="2">
        <v>180</v>
      </c>
      <c r="I55" s="3">
        <v>12899.18</v>
      </c>
    </row>
    <row r="56" spans="1:9" x14ac:dyDescent="0.25">
      <c r="A56" t="s">
        <v>16</v>
      </c>
      <c r="B56" t="s">
        <v>31</v>
      </c>
      <c r="C56" t="s">
        <v>11</v>
      </c>
      <c r="D56" t="s">
        <v>32</v>
      </c>
      <c r="E56" t="s">
        <v>33</v>
      </c>
      <c r="F56" t="s">
        <v>14</v>
      </c>
      <c r="G56" t="s">
        <v>15</v>
      </c>
      <c r="H56" s="2">
        <v>17</v>
      </c>
      <c r="I56" s="3">
        <v>487.79</v>
      </c>
    </row>
    <row r="57" spans="1:9" x14ac:dyDescent="0.25">
      <c r="A57" t="s">
        <v>16</v>
      </c>
      <c r="B57" t="s">
        <v>53</v>
      </c>
      <c r="C57" t="s">
        <v>11</v>
      </c>
      <c r="D57" t="s">
        <v>54</v>
      </c>
      <c r="E57" t="s">
        <v>55</v>
      </c>
      <c r="F57" t="s">
        <v>14</v>
      </c>
      <c r="G57" t="s">
        <v>15</v>
      </c>
      <c r="H57" s="2">
        <v>44</v>
      </c>
      <c r="I57" s="3">
        <v>1707.67</v>
      </c>
    </row>
    <row r="58" spans="1:9" x14ac:dyDescent="0.25">
      <c r="A58" t="s">
        <v>37</v>
      </c>
      <c r="B58" t="s">
        <v>44</v>
      </c>
      <c r="C58" t="s">
        <v>11</v>
      </c>
      <c r="D58" t="s">
        <v>45</v>
      </c>
      <c r="E58" t="s">
        <v>46</v>
      </c>
      <c r="F58" t="s">
        <v>14</v>
      </c>
      <c r="G58" t="s">
        <v>15</v>
      </c>
      <c r="H58" s="2">
        <v>58</v>
      </c>
      <c r="I58" s="3">
        <v>2288.5100000000002</v>
      </c>
    </row>
    <row r="59" spans="1:9" x14ac:dyDescent="0.25">
      <c r="A59" t="s">
        <v>30</v>
      </c>
      <c r="B59" t="s">
        <v>50</v>
      </c>
      <c r="C59" t="s">
        <v>11</v>
      </c>
      <c r="D59" t="s">
        <v>51</v>
      </c>
      <c r="E59" t="s">
        <v>52</v>
      </c>
      <c r="F59" t="s">
        <v>14</v>
      </c>
      <c r="G59" t="s">
        <v>15</v>
      </c>
      <c r="H59" s="2">
        <v>174</v>
      </c>
      <c r="I59" s="3">
        <v>14823.01</v>
      </c>
    </row>
    <row r="60" spans="1:9" x14ac:dyDescent="0.25">
      <c r="A60" t="s">
        <v>30</v>
      </c>
      <c r="B60" t="s">
        <v>26</v>
      </c>
      <c r="C60" t="s">
        <v>11</v>
      </c>
      <c r="D60" t="s">
        <v>27</v>
      </c>
      <c r="E60" t="s">
        <v>28</v>
      </c>
      <c r="F60" t="s">
        <v>14</v>
      </c>
      <c r="G60" t="s">
        <v>15</v>
      </c>
      <c r="H60" s="2">
        <v>137</v>
      </c>
      <c r="I60" s="3">
        <v>8438.4</v>
      </c>
    </row>
    <row r="61" spans="1:9" x14ac:dyDescent="0.25">
      <c r="A61" t="s">
        <v>16</v>
      </c>
      <c r="B61" t="s">
        <v>38</v>
      </c>
      <c r="C61" t="s">
        <v>11</v>
      </c>
      <c r="D61" t="s">
        <v>39</v>
      </c>
      <c r="E61" t="s">
        <v>40</v>
      </c>
      <c r="F61" t="s">
        <v>14</v>
      </c>
      <c r="G61" t="s">
        <v>15</v>
      </c>
      <c r="H61" s="2">
        <v>4</v>
      </c>
      <c r="I61" s="3">
        <v>1730.62</v>
      </c>
    </row>
    <row r="62" spans="1:9" x14ac:dyDescent="0.25">
      <c r="A62" t="s">
        <v>29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s="2">
        <v>218</v>
      </c>
      <c r="I62" s="3">
        <v>13155.73</v>
      </c>
    </row>
    <row r="63" spans="1:9" x14ac:dyDescent="0.25">
      <c r="A63" t="s">
        <v>9</v>
      </c>
      <c r="B63" t="s">
        <v>50</v>
      </c>
      <c r="C63" t="s">
        <v>11</v>
      </c>
      <c r="D63" t="s">
        <v>51</v>
      </c>
      <c r="E63" t="s">
        <v>52</v>
      </c>
      <c r="F63" t="s">
        <v>14</v>
      </c>
      <c r="G63" t="s">
        <v>15</v>
      </c>
      <c r="H63" s="2">
        <v>44</v>
      </c>
      <c r="I63" s="3">
        <v>3975.09</v>
      </c>
    </row>
    <row r="64" spans="1:9" x14ac:dyDescent="0.25">
      <c r="A64" t="s">
        <v>37</v>
      </c>
      <c r="B64" t="s">
        <v>26</v>
      </c>
      <c r="C64" t="s">
        <v>11</v>
      </c>
      <c r="D64" t="s">
        <v>27</v>
      </c>
      <c r="E64" t="s">
        <v>28</v>
      </c>
      <c r="F64" t="s">
        <v>14</v>
      </c>
      <c r="G64" t="s">
        <v>15</v>
      </c>
      <c r="H64" s="2">
        <v>114</v>
      </c>
      <c r="I64" s="3">
        <v>13109.96</v>
      </c>
    </row>
    <row r="65" spans="1:9" x14ac:dyDescent="0.25">
      <c r="A65" t="s">
        <v>16</v>
      </c>
      <c r="B65" t="s">
        <v>47</v>
      </c>
      <c r="C65" t="s">
        <v>11</v>
      </c>
      <c r="D65" t="s">
        <v>48</v>
      </c>
      <c r="E65" t="s">
        <v>49</v>
      </c>
      <c r="F65" t="s">
        <v>14</v>
      </c>
      <c r="G65" t="s">
        <v>15</v>
      </c>
      <c r="H65" s="2">
        <v>16</v>
      </c>
      <c r="I65" s="3">
        <v>1675.97</v>
      </c>
    </row>
    <row r="66" spans="1:9" x14ac:dyDescent="0.25">
      <c r="A66" t="s">
        <v>29</v>
      </c>
      <c r="B66" t="s">
        <v>50</v>
      </c>
      <c r="C66" t="s">
        <v>11</v>
      </c>
      <c r="D66" t="s">
        <v>51</v>
      </c>
      <c r="E66" t="s">
        <v>52</v>
      </c>
      <c r="F66" t="s">
        <v>14</v>
      </c>
      <c r="G66" t="s">
        <v>15</v>
      </c>
      <c r="H66" s="2">
        <v>411</v>
      </c>
      <c r="I66" s="3">
        <v>22756.5</v>
      </c>
    </row>
    <row r="67" spans="1:9" x14ac:dyDescent="0.25">
      <c r="A67" t="s">
        <v>16</v>
      </c>
      <c r="B67" t="s">
        <v>41</v>
      </c>
      <c r="C67" t="s">
        <v>11</v>
      </c>
      <c r="D67" t="s">
        <v>42</v>
      </c>
      <c r="E67" t="s">
        <v>43</v>
      </c>
      <c r="F67" t="s">
        <v>14</v>
      </c>
      <c r="G67" t="s">
        <v>15</v>
      </c>
      <c r="H67" s="2">
        <v>44</v>
      </c>
      <c r="I67" s="3">
        <v>2385.0100000000002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A2" sqref="A2:XFD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62</v>
      </c>
      <c r="B2" t="s">
        <v>10</v>
      </c>
      <c r="C2" t="s">
        <v>11</v>
      </c>
      <c r="D2" t="s">
        <v>12</v>
      </c>
      <c r="E2" t="s">
        <v>13</v>
      </c>
      <c r="F2" t="s">
        <v>63</v>
      </c>
      <c r="G2" t="s">
        <v>15</v>
      </c>
      <c r="H2" s="2">
        <v>1</v>
      </c>
      <c r="I2" s="3">
        <v>220.77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53</v>
      </c>
      <c r="C2" t="s">
        <v>11</v>
      </c>
      <c r="D2" t="s">
        <v>54</v>
      </c>
      <c r="E2" t="s">
        <v>55</v>
      </c>
      <c r="F2" t="s">
        <v>14</v>
      </c>
      <c r="G2" t="s">
        <v>15</v>
      </c>
      <c r="H2" s="2">
        <v>1</v>
      </c>
      <c r="I2" s="3">
        <v>-1776.1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1</v>
      </c>
      <c r="I3" s="3">
        <v>-944.98</v>
      </c>
    </row>
    <row r="4" spans="1:9" x14ac:dyDescent="0.25">
      <c r="A4" t="s">
        <v>9</v>
      </c>
      <c r="B4" t="s">
        <v>44</v>
      </c>
      <c r="C4" t="s">
        <v>11</v>
      </c>
      <c r="D4" t="s">
        <v>45</v>
      </c>
      <c r="E4" t="s">
        <v>46</v>
      </c>
      <c r="F4" t="s">
        <v>14</v>
      </c>
      <c r="G4" t="s">
        <v>15</v>
      </c>
      <c r="H4" s="2">
        <v>1</v>
      </c>
      <c r="I4" s="3">
        <v>-247.32</v>
      </c>
    </row>
    <row r="5" spans="1:9" x14ac:dyDescent="0.25">
      <c r="A5" t="s">
        <v>9</v>
      </c>
      <c r="B5" t="s">
        <v>23</v>
      </c>
      <c r="C5" t="s">
        <v>11</v>
      </c>
      <c r="D5" t="s">
        <v>24</v>
      </c>
      <c r="E5" t="s">
        <v>25</v>
      </c>
      <c r="F5" t="s">
        <v>14</v>
      </c>
      <c r="G5" t="s">
        <v>15</v>
      </c>
      <c r="H5" s="2">
        <v>1</v>
      </c>
      <c r="I5" s="3">
        <v>-3941.13</v>
      </c>
    </row>
    <row r="6" spans="1:9" x14ac:dyDescent="0.25">
      <c r="A6" t="s">
        <v>9</v>
      </c>
      <c r="B6" t="s">
        <v>17</v>
      </c>
      <c r="C6" t="s">
        <v>11</v>
      </c>
      <c r="D6" t="s">
        <v>18</v>
      </c>
      <c r="E6" t="s">
        <v>19</v>
      </c>
      <c r="F6" t="s">
        <v>14</v>
      </c>
      <c r="G6" t="s">
        <v>15</v>
      </c>
      <c r="H6" s="2">
        <v>1</v>
      </c>
      <c r="I6" s="3">
        <v>-157.86000000000001</v>
      </c>
    </row>
    <row r="7" spans="1:9" x14ac:dyDescent="0.25">
      <c r="A7" t="s">
        <v>9</v>
      </c>
      <c r="B7" t="s">
        <v>38</v>
      </c>
      <c r="C7" t="s">
        <v>11</v>
      </c>
      <c r="D7" t="s">
        <v>39</v>
      </c>
      <c r="E7" t="s">
        <v>40</v>
      </c>
      <c r="F7" t="s">
        <v>14</v>
      </c>
      <c r="G7" t="s">
        <v>15</v>
      </c>
      <c r="H7" s="2">
        <v>1</v>
      </c>
      <c r="I7" s="3">
        <v>-22.17</v>
      </c>
    </row>
    <row r="8" spans="1:9" x14ac:dyDescent="0.25">
      <c r="A8" t="s">
        <v>9</v>
      </c>
      <c r="B8" t="s">
        <v>20</v>
      </c>
      <c r="C8" t="s">
        <v>11</v>
      </c>
      <c r="D8" t="s">
        <v>21</v>
      </c>
      <c r="E8" t="s">
        <v>22</v>
      </c>
      <c r="F8" t="s">
        <v>14</v>
      </c>
      <c r="G8" t="s">
        <v>15</v>
      </c>
      <c r="H8" s="2">
        <v>1</v>
      </c>
      <c r="I8" s="3">
        <v>-266.51</v>
      </c>
    </row>
    <row r="9" spans="1:9" x14ac:dyDescent="0.25">
      <c r="A9" t="s">
        <v>9</v>
      </c>
      <c r="B9" t="s">
        <v>34</v>
      </c>
      <c r="C9" t="s">
        <v>11</v>
      </c>
      <c r="D9" t="s">
        <v>35</v>
      </c>
      <c r="E9" t="s">
        <v>36</v>
      </c>
      <c r="F9" t="s">
        <v>14</v>
      </c>
      <c r="G9" t="s">
        <v>15</v>
      </c>
      <c r="H9" s="2">
        <v>1</v>
      </c>
      <c r="I9" s="3">
        <v>-2561.17</v>
      </c>
    </row>
    <row r="10" spans="1:9" x14ac:dyDescent="0.25">
      <c r="A10" t="s">
        <v>9</v>
      </c>
      <c r="B10" t="s">
        <v>47</v>
      </c>
      <c r="C10" t="s">
        <v>11</v>
      </c>
      <c r="D10" t="s">
        <v>48</v>
      </c>
      <c r="E10" t="s">
        <v>49</v>
      </c>
      <c r="F10" t="s">
        <v>14</v>
      </c>
      <c r="G10" t="s">
        <v>15</v>
      </c>
      <c r="H10" s="2">
        <v>1</v>
      </c>
      <c r="I10" s="3">
        <v>-4877.62</v>
      </c>
    </row>
    <row r="11" spans="1:9" x14ac:dyDescent="0.25">
      <c r="A11" t="s">
        <v>9</v>
      </c>
      <c r="B11" t="s">
        <v>41</v>
      </c>
      <c r="C11" t="s">
        <v>11</v>
      </c>
      <c r="D11" t="s">
        <v>42</v>
      </c>
      <c r="E11" t="s">
        <v>43</v>
      </c>
      <c r="F11" t="s">
        <v>14</v>
      </c>
      <c r="G11" t="s">
        <v>15</v>
      </c>
      <c r="H11" s="2">
        <v>1</v>
      </c>
      <c r="I11" s="3">
        <v>-2715.5</v>
      </c>
    </row>
    <row r="12" spans="1:9" x14ac:dyDescent="0.25">
      <c r="A12" t="s">
        <v>9</v>
      </c>
      <c r="B12" t="s">
        <v>50</v>
      </c>
      <c r="C12" t="s">
        <v>11</v>
      </c>
      <c r="D12" t="s">
        <v>51</v>
      </c>
      <c r="E12" t="s">
        <v>52</v>
      </c>
      <c r="F12" t="s">
        <v>14</v>
      </c>
      <c r="G12" t="s">
        <v>15</v>
      </c>
      <c r="H12" s="2">
        <v>1</v>
      </c>
      <c r="I12" s="3">
        <v>-3975.09</v>
      </c>
    </row>
    <row r="13" spans="1:9" x14ac:dyDescent="0.25">
      <c r="A13" t="s">
        <v>9</v>
      </c>
      <c r="B13" t="s">
        <v>26</v>
      </c>
      <c r="C13" t="s">
        <v>11</v>
      </c>
      <c r="D13" t="s">
        <v>27</v>
      </c>
      <c r="E13" t="s">
        <v>28</v>
      </c>
      <c r="F13" t="s">
        <v>14</v>
      </c>
      <c r="G13" t="s">
        <v>15</v>
      </c>
      <c r="H13" s="2">
        <v>1</v>
      </c>
      <c r="I13" s="3">
        <v>-1657.76</v>
      </c>
    </row>
    <row r="14" spans="1:9" x14ac:dyDescent="0.25">
      <c r="A14" t="s">
        <v>9</v>
      </c>
      <c r="B14" t="s">
        <v>31</v>
      </c>
      <c r="C14" t="s">
        <v>11</v>
      </c>
      <c r="D14" t="s">
        <v>32</v>
      </c>
      <c r="E14" t="s">
        <v>33</v>
      </c>
      <c r="F14" t="s">
        <v>14</v>
      </c>
      <c r="G14" t="s">
        <v>15</v>
      </c>
      <c r="H14" s="2">
        <v>1</v>
      </c>
      <c r="I14" s="3">
        <v>-1276.1500000000001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Net Sales (2)</vt:lpstr>
      <vt:lpstr>Net Sales</vt:lpstr>
      <vt:lpstr>Adjustments</vt:lpstr>
      <vt:lpstr>IC Charges &amp; Program Fees</vt:lpstr>
      <vt:lpstr>Service Charges</vt:lpstr>
      <vt:lpstr>Fees</vt:lpstr>
      <vt:lpstr>Chargebacks &amp; Chargeback Revers</vt:lpstr>
      <vt:lpstr>Paid By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Marcie Marsh</cp:lastModifiedBy>
  <cp:lastPrinted>2026-04-07T21:57:24Z</cp:lastPrinted>
  <dcterms:created xsi:type="dcterms:W3CDTF">2026-03-31T11:47:18Z</dcterms:created>
  <dcterms:modified xsi:type="dcterms:W3CDTF">2026-04-07T21:57:26Z</dcterms:modified>
</cp:coreProperties>
</file>